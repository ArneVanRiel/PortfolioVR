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792823f9c5218bf/Documenten/beleggen/PortfolioVR v3 - React/portfoliovr/"/>
    </mc:Choice>
  </mc:AlternateContent>
  <xr:revisionPtr revIDLastSave="5" documentId="8_{07A7B002-F0D8-4458-BF0E-81A8B9316895}" xr6:coauthVersionLast="47" xr6:coauthVersionMax="47" xr10:uidLastSave="{6CB71B06-BF23-42B4-A16C-244C84A79DC4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N2" i="1" s="1"/>
  <c r="P29" i="1"/>
  <c r="P31" i="1"/>
  <c r="P30" i="1"/>
  <c r="P35" i="1"/>
  <c r="P21" i="1"/>
  <c r="P28" i="1"/>
  <c r="P16" i="1"/>
  <c r="P27" i="1"/>
  <c r="P25" i="1"/>
  <c r="P22" i="1"/>
  <c r="P20" i="1"/>
  <c r="P9" i="1"/>
  <c r="P11" i="1"/>
  <c r="P15" i="1"/>
  <c r="P13" i="1"/>
  <c r="P12" i="1"/>
  <c r="P8" i="1"/>
  <c r="P6" i="1"/>
  <c r="P7" i="1"/>
  <c r="P5" i="1"/>
  <c r="P4" i="1"/>
  <c r="P3" i="1"/>
  <c r="P2" i="1"/>
  <c r="J35" i="1"/>
  <c r="J31" i="1"/>
  <c r="J30" i="1"/>
  <c r="J29" i="1"/>
  <c r="J28" i="1"/>
  <c r="N28" i="1" s="1"/>
  <c r="J27" i="1"/>
  <c r="N27" i="1" s="1"/>
  <c r="J25" i="1"/>
  <c r="N25" i="1" s="1"/>
  <c r="J22" i="1"/>
  <c r="N22" i="1" s="1"/>
  <c r="J21" i="1"/>
  <c r="J20" i="1"/>
  <c r="N20" i="1" s="1"/>
  <c r="J16" i="1"/>
  <c r="J15" i="1"/>
  <c r="N15" i="1" s="1"/>
  <c r="J13" i="1"/>
  <c r="N13" i="1" s="1"/>
  <c r="J12" i="1"/>
  <c r="N12" i="1" s="1"/>
  <c r="J11" i="1"/>
  <c r="J9" i="1"/>
  <c r="J8" i="1"/>
  <c r="N8" i="1" s="1"/>
  <c r="J7" i="1"/>
  <c r="N7" i="1" s="1"/>
  <c r="J6" i="1"/>
  <c r="N6" i="1" s="1"/>
  <c r="J5" i="1"/>
  <c r="N5" i="1" s="1"/>
  <c r="J4" i="1"/>
  <c r="N4" i="1" s="1"/>
  <c r="J3" i="1"/>
  <c r="N3" i="1" s="1"/>
  <c r="Q15" i="1" l="1"/>
  <c r="Q3" i="1"/>
  <c r="Q12" i="1"/>
  <c r="Q20" i="1"/>
  <c r="Q13" i="1"/>
  <c r="Q35" i="1"/>
  <c r="Q2" i="1"/>
  <c r="Q16" i="1"/>
  <c r="Q4" i="1"/>
  <c r="Q21" i="1"/>
  <c r="Q5" i="1"/>
  <c r="Q22" i="1"/>
  <c r="Q25" i="1"/>
  <c r="Q6" i="1"/>
  <c r="Q7" i="1"/>
  <c r="Q27" i="1"/>
  <c r="Q28" i="1"/>
  <c r="Q8" i="1"/>
  <c r="Q29" i="1"/>
  <c r="Q11" i="1"/>
  <c r="Q30" i="1"/>
  <c r="Q31" i="1"/>
  <c r="Q9" i="1"/>
</calcChain>
</file>

<file path=xl/sharedStrings.xml><?xml version="1.0" encoding="utf-8"?>
<sst xmlns="http://schemas.openxmlformats.org/spreadsheetml/2006/main" count="95" uniqueCount="74">
  <si>
    <t>period_end_date</t>
  </si>
  <si>
    <t>ticker</t>
  </si>
  <si>
    <t>gem_groeipercentage_FCF</t>
  </si>
  <si>
    <t>standaard_deviatie_FCF</t>
  </si>
  <si>
    <t>waardefactor_FCF</t>
  </si>
  <si>
    <t>Gemiddelde_stijging_ROE_10_Y</t>
  </si>
  <si>
    <t>standaard_deviatie_ROE</t>
  </si>
  <si>
    <t>waardefactor_ROE</t>
  </si>
  <si>
    <t>waardefactor_LTD_equity</t>
  </si>
  <si>
    <t>selectiecriteria</t>
  </si>
  <si>
    <t>intrinsieke_waarde</t>
  </si>
  <si>
    <t>waarde_verdeling</t>
  </si>
  <si>
    <t>koopmarge</t>
  </si>
  <si>
    <t>PFE</t>
  </si>
  <si>
    <t>2023-12-31</t>
  </si>
  <si>
    <t>CL</t>
  </si>
  <si>
    <t>2023-06-30</t>
  </si>
  <si>
    <t>ON</t>
  </si>
  <si>
    <t>2024-09-27</t>
  </si>
  <si>
    <t>MA</t>
  </si>
  <si>
    <t>2024-09-30</t>
  </si>
  <si>
    <t>SWKS</t>
  </si>
  <si>
    <t>MSFT</t>
  </si>
  <si>
    <t>LULU</t>
  </si>
  <si>
    <t>2024-07-28</t>
  </si>
  <si>
    <t>BLK</t>
  </si>
  <si>
    <t>2024-06-30</t>
  </si>
  <si>
    <t>AAPL</t>
  </si>
  <si>
    <t>2024-09-28</t>
  </si>
  <si>
    <t>EMR</t>
  </si>
  <si>
    <t>2024-03-31</t>
  </si>
  <si>
    <t>DHR</t>
  </si>
  <si>
    <t>2024-06-28</t>
  </si>
  <si>
    <t>UNH</t>
  </si>
  <si>
    <t>WMT</t>
  </si>
  <si>
    <t>2024-01-31</t>
  </si>
  <si>
    <t>NKE</t>
  </si>
  <si>
    <t>2023-11-30</t>
  </si>
  <si>
    <t>RHI</t>
  </si>
  <si>
    <t>GOOGL</t>
  </si>
  <si>
    <t>KLAC</t>
  </si>
  <si>
    <t>IBM</t>
  </si>
  <si>
    <t>ABT</t>
  </si>
  <si>
    <t>KO</t>
  </si>
  <si>
    <t>BIIB</t>
  </si>
  <si>
    <t>ACN</t>
  </si>
  <si>
    <t>2024-08-31</t>
  </si>
  <si>
    <t>ETN</t>
  </si>
  <si>
    <t>INTU</t>
  </si>
  <si>
    <t>2024-07-31</t>
  </si>
  <si>
    <t>PGR</t>
  </si>
  <si>
    <t>COST</t>
  </si>
  <si>
    <t>2024-09-01</t>
  </si>
  <si>
    <t>ORCL</t>
  </si>
  <si>
    <t>2024-02-29</t>
  </si>
  <si>
    <t>AMAT</t>
  </si>
  <si>
    <t>ADBE</t>
  </si>
  <si>
    <t>2024-08-30</t>
  </si>
  <si>
    <t>CMI</t>
  </si>
  <si>
    <t>NVDA</t>
  </si>
  <si>
    <t>2024-10-27</t>
  </si>
  <si>
    <t>CTSH</t>
  </si>
  <si>
    <t>JNJ</t>
  </si>
  <si>
    <t>MNST</t>
  </si>
  <si>
    <t>REGN</t>
  </si>
  <si>
    <t>PEP</t>
  </si>
  <si>
    <t>2023-12-30</t>
  </si>
  <si>
    <t>PG</t>
  </si>
  <si>
    <t>SNPS</t>
  </si>
  <si>
    <t>META</t>
  </si>
  <si>
    <t>Kolom1</t>
  </si>
  <si>
    <t>Kolom2</t>
  </si>
  <si>
    <t>WV2</t>
  </si>
  <si>
    <t>Kolom12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</si>
</sst>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Procent" xfId="1" builtinId="5"/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567B8-D7B6-4608-82F0-DF38B46BDFF7}" name="Tabel1" displayName="Tabel1" ref="A1:Q40" totalsRowShown="0" headerRowDxfId="8" headerRowBorderDxfId="9" tableBorderDxfId="10">
  <autoFilter ref="A1:Q40" xr:uid="{961567B8-D7B6-4608-82F0-DF38B46BDFF7}">
    <filterColumn colId="13">
      <customFilters>
        <customFilter operator="notEqual" val=" "/>
      </customFilters>
    </filterColumn>
  </autoFilter>
  <sortState xmlns:xlrd2="http://schemas.microsoft.com/office/spreadsheetml/2017/richdata2" ref="A2:Q35">
    <sortCondition descending="1" ref="M1:M40"/>
  </sortState>
  <tableColumns count="17">
    <tableColumn id="1" xr3:uid="{18AA4081-B44B-4869-8F6F-17B7AACA2DB5}" name="period_end_date"/>
    <tableColumn id="2" xr3:uid="{26EE66FD-1A77-42C3-985A-910D8F2AA763}" name="ticker"/>
    <tableColumn id="3" xr3:uid="{794EF92C-F342-4244-8860-921B5459ADBA}" name="gem_groeipercentage_FCF"/>
    <tableColumn id="4" xr3:uid="{4AC3B43A-79E7-4A6B-A517-37B3D9FA87FA}" name="standaard_deviatie_FCF"/>
    <tableColumn id="5" xr3:uid="{6051C28F-E82B-4AD6-BDAB-B8B40E21E60D}" name="waardefactor_FCF"/>
    <tableColumn id="6" xr3:uid="{410E454F-F884-4216-A15F-007FF62E094E}" name="Gemiddelde_stijging_ROE_10_Y"/>
    <tableColumn id="7" xr3:uid="{6A1EEE3A-7C26-4F4C-A3C8-618B472B73B6}" name="standaard_deviatie_ROE"/>
    <tableColumn id="8" xr3:uid="{7D60FC51-2725-4426-88DA-0DC6913B2226}" name="waardefactor_ROE"/>
    <tableColumn id="9" xr3:uid="{7524AAB5-B631-4AFE-B09A-18168883DBFB}" name="waardefactor_LTD_equity"/>
    <tableColumn id="15" xr3:uid="{DC788CCF-6F5E-4E78-840F-634B2A6D2BF5}" name="Kolom2"/>
    <tableColumn id="10" xr3:uid="{B70DF3C6-70B8-4E98-B18F-246F459673C7}" name="selectiecriteria"/>
    <tableColumn id="11" xr3:uid="{1BC31F92-A527-4A81-AC3B-EB1421D66A9F}" name="intrinsieke_waarde"/>
    <tableColumn id="12" xr3:uid="{BE1194DB-F887-48D0-9427-4C44F28B3110}" name="waarde_verdeling"/>
    <tableColumn id="16" xr3:uid="{1F6717B4-C67E-4F3A-AB7E-DE73EAE8FC43}" name="WV2"/>
    <tableColumn id="13" xr3:uid="{9F47CE21-D9B5-476D-BD3F-114D0E9DCEC3}" name="koopmarge"/>
    <tableColumn id="14" xr3:uid="{41163A98-2E41-4BCC-8730-5587268F7042}" name="Kolom1"/>
    <tableColumn id="17" xr3:uid="{8A343F8D-EC62-470D-B03E-6941AB4958B1}" name="Kolom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pane xSplit="1" topLeftCell="G1" activePane="topRight" state="frozen"/>
      <selection pane="topRight" activeCell="N2" sqref="N2"/>
    </sheetView>
  </sheetViews>
  <sheetFormatPr defaultRowHeight="14.4" x14ac:dyDescent="0.3"/>
  <cols>
    <col min="1" max="1" width="17.33203125" customWidth="1"/>
    <col min="2" max="2" width="15.33203125" customWidth="1"/>
    <col min="3" max="3" width="25.109375" customWidth="1"/>
    <col min="4" max="4" width="22.88671875" customWidth="1"/>
    <col min="5" max="5" width="18" customWidth="1"/>
    <col min="6" max="6" width="29.44140625" customWidth="1"/>
    <col min="7" max="7" width="23.44140625" customWidth="1"/>
    <col min="8" max="8" width="18.5546875" customWidth="1"/>
    <col min="9" max="10" width="24.5546875" customWidth="1"/>
    <col min="11" max="11" width="14.88671875" customWidth="1"/>
    <col min="12" max="12" width="18.77734375" customWidth="1"/>
    <col min="13" max="14" width="17.88671875" customWidth="1"/>
    <col min="15" max="15" width="12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71</v>
      </c>
      <c r="K1" s="1" t="s">
        <v>9</v>
      </c>
      <c r="L1" s="1" t="s">
        <v>10</v>
      </c>
      <c r="M1" s="1" t="s">
        <v>11</v>
      </c>
      <c r="N1" s="2" t="s">
        <v>72</v>
      </c>
      <c r="O1" s="1" t="s">
        <v>12</v>
      </c>
      <c r="P1" s="1" t="s">
        <v>70</v>
      </c>
      <c r="Q1" s="1" t="s">
        <v>73</v>
      </c>
    </row>
    <row r="2" spans="1:17" x14ac:dyDescent="0.3">
      <c r="A2" t="s">
        <v>22</v>
      </c>
      <c r="B2" t="s">
        <v>20</v>
      </c>
      <c r="C2">
        <v>0.1253843235132677</v>
      </c>
      <c r="D2">
        <v>7.0748353744004067E-2</v>
      </c>
      <c r="E2">
        <v>25.050163445426641</v>
      </c>
      <c r="F2">
        <v>0.31942173743484359</v>
      </c>
      <c r="G2">
        <v>9.3082147502579496E-2</v>
      </c>
      <c r="H2">
        <v>0.22633958993226419</v>
      </c>
      <c r="I2">
        <v>0.442545705697589</v>
      </c>
      <c r="J2">
        <f>-2*Tabel1[[#This Row],[waardefactor_LTD_equity]]+2</f>
        <v>1.114908588604822</v>
      </c>
      <c r="K2">
        <v>5</v>
      </c>
      <c r="L2">
        <v>381.13419262340062</v>
      </c>
      <c r="M2">
        <v>47.845007083869099</v>
      </c>
      <c r="N2">
        <f>1*Tabel1[[#This Row],[waardefactor_FCF]]*(1+Tabel1[[#This Row],[waardefactor_ROE]])*Tabel1[[#This Row],[Kolom2]]</f>
        <v>34.24999983293673</v>
      </c>
      <c r="O2">
        <v>0.15084137946501741</v>
      </c>
      <c r="P2" s="3">
        <f>Tabel1[[#This Row],[waarde_verdeling]]/SUM($M$2:$M$35)</f>
        <v>0.21694804810855936</v>
      </c>
      <c r="Q2" s="3">
        <f>Tabel1[[#This Row],[WV2]]/SUM($N$2:$N$35)</f>
        <v>0.1905851245389539</v>
      </c>
    </row>
    <row r="3" spans="1:17" x14ac:dyDescent="0.3">
      <c r="A3" t="s">
        <v>56</v>
      </c>
      <c r="B3" t="s">
        <v>57</v>
      </c>
      <c r="C3">
        <v>0.2486558003756334</v>
      </c>
      <c r="D3">
        <v>0.1100119343642586</v>
      </c>
      <c r="E3">
        <v>20.545607745508871</v>
      </c>
      <c r="F3">
        <v>0.25801811344177872</v>
      </c>
      <c r="G3">
        <v>0.1084842136000902</v>
      </c>
      <c r="H3">
        <v>0.14953389984168849</v>
      </c>
      <c r="I3">
        <v>0.32932555514684131</v>
      </c>
      <c r="J3">
        <f>-2*Tabel1[[#This Row],[waardefactor_LTD_equity]]+2</f>
        <v>1.3413488897063175</v>
      </c>
      <c r="K3">
        <v>5</v>
      </c>
      <c r="L3">
        <v>552.70666879999624</v>
      </c>
      <c r="M3">
        <v>39.457776188456869</v>
      </c>
      <c r="N3">
        <f>1*Tabel1[[#This Row],[waardefactor_FCF]]*(1+Tabel1[[#This Row],[waardefactor_ROE]])*Tabel1[[#This Row],[Kolom2]]</f>
        <v>31.679807184288919</v>
      </c>
      <c r="O3">
        <v>-7.8019100870523883E-2</v>
      </c>
      <c r="P3" s="3">
        <f>Tabel1[[#This Row],[waarde_verdeling]]/SUM($M$2:$M$35)</f>
        <v>0.1789170500442083</v>
      </c>
      <c r="Q3" s="3">
        <f>Tabel1[[#This Row],[WV2]]/SUM($N$2:$N$35)</f>
        <v>0.17628321246826861</v>
      </c>
    </row>
    <row r="4" spans="1:17" x14ac:dyDescent="0.3">
      <c r="A4" t="s">
        <v>45</v>
      </c>
      <c r="B4" t="s">
        <v>46</v>
      </c>
      <c r="C4">
        <v>0.12663189128143229</v>
      </c>
      <c r="D4">
        <v>9.4357766052797068E-2</v>
      </c>
      <c r="E4">
        <v>14.222888082105911</v>
      </c>
      <c r="F4">
        <v>0.35137209400900571</v>
      </c>
      <c r="G4">
        <v>8.5965615627188408E-2</v>
      </c>
      <c r="H4">
        <v>0.26540647838181719</v>
      </c>
      <c r="I4">
        <v>0.25669760227954608</v>
      </c>
      <c r="J4">
        <f>-2*Tabel1[[#This Row],[waardefactor_LTD_equity]]+2</f>
        <v>1.4866047954409078</v>
      </c>
      <c r="K4">
        <v>5</v>
      </c>
      <c r="L4">
        <v>456.27076744449971</v>
      </c>
      <c r="M4">
        <v>31.375494091603631</v>
      </c>
      <c r="N4">
        <f>1*Tabel1[[#This Row],[waardefactor_FCF]]*(1+Tabel1[[#This Row],[waardefactor_ROE]])*Tabel1[[#This Row],[Kolom2]]</f>
        <v>26.755518742414555</v>
      </c>
      <c r="O4">
        <v>-0.31593248429192322</v>
      </c>
      <c r="P4" s="3">
        <f>Tabel1[[#This Row],[waarde_verdeling]]/SUM($M$2:$M$35)</f>
        <v>0.14226880956842763</v>
      </c>
      <c r="Q4" s="3">
        <f>Tabel1[[#This Row],[WV2]]/SUM($N$2:$N$35)</f>
        <v>0.14888186559124333</v>
      </c>
    </row>
    <row r="5" spans="1:17" x14ac:dyDescent="0.3">
      <c r="A5" t="s">
        <v>39</v>
      </c>
      <c r="B5" t="s">
        <v>20</v>
      </c>
      <c r="C5">
        <v>0.22042479201537979</v>
      </c>
      <c r="D5">
        <v>0.15325191350360601</v>
      </c>
      <c r="E5">
        <v>9.385310128348948</v>
      </c>
      <c r="F5">
        <v>0.18840145924105059</v>
      </c>
      <c r="G5">
        <v>6.5918166345093954E-2</v>
      </c>
      <c r="H5">
        <v>0.12248329289595671</v>
      </c>
      <c r="I5">
        <v>0.1229794778417282</v>
      </c>
      <c r="J5">
        <f>-2*Tabel1[[#This Row],[waardefactor_LTD_equity]]+2</f>
        <v>1.7540410443165435</v>
      </c>
      <c r="K5">
        <v>5</v>
      </c>
      <c r="L5">
        <v>379.29938667884511</v>
      </c>
      <c r="M5">
        <v>19.774136813795799</v>
      </c>
      <c r="N5">
        <f>1*Tabel1[[#This Row],[waardefactor_FCF]]*(1+Tabel1[[#This Row],[waardefactor_ROE]])*Tabel1[[#This Row],[Kolom2]]</f>
        <v>18.478565992153786</v>
      </c>
      <c r="O5">
        <v>-0.54125947441268396</v>
      </c>
      <c r="P5" s="3">
        <f>Tabel1[[#This Row],[waarde_verdeling]]/SUM($M$2:$M$35)</f>
        <v>8.9663700483199674E-2</v>
      </c>
      <c r="Q5" s="3">
        <f>Tabel1[[#This Row],[WV2]]/SUM($N$2:$N$35)</f>
        <v>0.10282452023632432</v>
      </c>
    </row>
    <row r="6" spans="1:17" x14ac:dyDescent="0.3">
      <c r="A6" t="s">
        <v>48</v>
      </c>
      <c r="B6" t="s">
        <v>49</v>
      </c>
      <c r="C6">
        <v>0.16448743930516219</v>
      </c>
      <c r="D6">
        <v>0.12644967678903701</v>
      </c>
      <c r="E6">
        <v>10.2872025855907</v>
      </c>
      <c r="F6">
        <v>0.40498444765951552</v>
      </c>
      <c r="G6">
        <v>0.29596816848251878</v>
      </c>
      <c r="H6">
        <v>0.1090162791769967</v>
      </c>
      <c r="I6">
        <v>0.36533061978912779</v>
      </c>
      <c r="J6">
        <f>-2*Tabel1[[#This Row],[waardefactor_LTD_equity]]+2</f>
        <v>1.2693387604217445</v>
      </c>
      <c r="K6">
        <v>5</v>
      </c>
      <c r="L6">
        <v>760.79238996297329</v>
      </c>
      <c r="M6">
        <v>18.649411911323021</v>
      </c>
      <c r="N6">
        <f>1*Tabel1[[#This Row],[waardefactor_FCF]]*(1+Tabel1[[#This Row],[waardefactor_ROE]])*Tabel1[[#This Row],[Kolom2]]</f>
        <v>14.481473553422495</v>
      </c>
      <c r="O6">
        <v>-0.16339201896783001</v>
      </c>
      <c r="P6" s="3">
        <f>Tabel1[[#This Row],[waarde_verdeling]]/SUM($M$2:$M$35)</f>
        <v>8.4563756160423609E-2</v>
      </c>
      <c r="Q6" s="3">
        <f>Tabel1[[#This Row],[WV2]]/SUM($N$2:$N$35)</f>
        <v>8.0582582602890016E-2</v>
      </c>
    </row>
    <row r="7" spans="1:17" x14ac:dyDescent="0.3">
      <c r="A7" t="s">
        <v>38</v>
      </c>
      <c r="B7" t="s">
        <v>20</v>
      </c>
      <c r="C7">
        <v>8.0689427372681408E-2</v>
      </c>
      <c r="D7">
        <v>0.1041137780034319</v>
      </c>
      <c r="E7">
        <v>7.443894702387051</v>
      </c>
      <c r="F7">
        <v>0.3371760400592182</v>
      </c>
      <c r="G7">
        <v>6.8119579265555744E-2</v>
      </c>
      <c r="H7">
        <v>0.26905646079366252</v>
      </c>
      <c r="I7">
        <v>0.12733277014015709</v>
      </c>
      <c r="J7">
        <f>-2*Tabel1[[#This Row],[waardefactor_LTD_equity]]+2</f>
        <v>1.7453344597196858</v>
      </c>
      <c r="K7">
        <v>5</v>
      </c>
      <c r="L7">
        <v>117.1700030955746</v>
      </c>
      <c r="M7">
        <v>17.69056796531601</v>
      </c>
      <c r="N7">
        <f>1*Tabel1[[#This Row],[waardefactor_FCF]]*(1+Tabel1[[#This Row],[waardefactor_ROE]])*Tabel1[[#This Row],[Kolom2]]</f>
        <v>16.487690599568012</v>
      </c>
      <c r="O7">
        <v>-0.43931893943379008</v>
      </c>
      <c r="P7" s="3">
        <f>Tabel1[[#This Row],[waarde_verdeling]]/SUM($M$2:$M$35)</f>
        <v>8.0215981226201397E-2</v>
      </c>
      <c r="Q7" s="3">
        <f>Tabel1[[#This Row],[WV2]]/SUM($N$2:$N$35)</f>
        <v>9.1746235959294459E-2</v>
      </c>
    </row>
    <row r="8" spans="1:17" x14ac:dyDescent="0.3">
      <c r="A8" t="s">
        <v>50</v>
      </c>
      <c r="B8" t="s">
        <v>20</v>
      </c>
      <c r="C8">
        <v>0.2167550514829743</v>
      </c>
      <c r="D8">
        <v>0.1531764255567801</v>
      </c>
      <c r="E8">
        <v>9.2381575772340678</v>
      </c>
      <c r="F8">
        <v>0.19520101585452271</v>
      </c>
      <c r="G8">
        <v>7.7819636571198739E-2</v>
      </c>
      <c r="H8">
        <v>0.1173813792833239</v>
      </c>
      <c r="I8">
        <v>0.30114542191999788</v>
      </c>
      <c r="J8">
        <f>-2*Tabel1[[#This Row],[waardefactor_LTD_equity]]+2</f>
        <v>1.3977091561600044</v>
      </c>
      <c r="K8">
        <v>5</v>
      </c>
      <c r="L8">
        <v>684.81544302334919</v>
      </c>
      <c r="M8">
        <v>17.536503265061011</v>
      </c>
      <c r="N8">
        <f>1*Tabel1[[#This Row],[waardefactor_FCF]]*(1+Tabel1[[#This Row],[waardefactor_ROE]])*Tabel1[[#This Row],[Kolom2]]</f>
        <v>14.427916018749023</v>
      </c>
      <c r="O8">
        <v>-0.66306980521395087</v>
      </c>
      <c r="P8" s="3">
        <f>Tabel1[[#This Row],[waarde_verdeling]]/SUM($M$2:$M$35)</f>
        <v>7.9517391382873295E-2</v>
      </c>
      <c r="Q8" s="3">
        <f>Tabel1[[#This Row],[WV2]]/SUM($N$2:$N$35)</f>
        <v>8.0284560136743108E-2</v>
      </c>
    </row>
    <row r="9" spans="1:17" x14ac:dyDescent="0.3">
      <c r="A9" t="s">
        <v>62</v>
      </c>
      <c r="B9" t="s">
        <v>14</v>
      </c>
      <c r="C9">
        <v>3.6486940890555673E-2</v>
      </c>
      <c r="D9">
        <v>7.6006922544705077E-2</v>
      </c>
      <c r="E9">
        <v>6.3158405282639301</v>
      </c>
      <c r="F9">
        <v>0.22584284284919931</v>
      </c>
      <c r="G9">
        <v>9.342966365507234E-2</v>
      </c>
      <c r="H9">
        <v>0.1324131791941269</v>
      </c>
      <c r="I9">
        <v>0.80377866017129218</v>
      </c>
      <c r="J9">
        <f>-2*Tabel1[[#This Row],[waardefactor_LTD_equity]]+2</f>
        <v>0.39244267965741564</v>
      </c>
      <c r="K9">
        <v>4</v>
      </c>
      <c r="L9">
        <v>185.37004248682521</v>
      </c>
      <c r="O9">
        <v>-0.15711837441216089</v>
      </c>
      <c r="P9" s="3">
        <f>Tabel1[[#This Row],[waarde_verdeling]]/SUM($M$2:$M$35)</f>
        <v>0</v>
      </c>
      <c r="Q9" s="3">
        <f>Tabel1[[#This Row],[WV2]]/SUM($N$2:$N$35)</f>
        <v>0</v>
      </c>
    </row>
    <row r="10" spans="1:17" hidden="1" x14ac:dyDescent="0.3">
      <c r="A10" t="s">
        <v>31</v>
      </c>
      <c r="B10" t="s">
        <v>32</v>
      </c>
      <c r="C10">
        <v>0.1101439559995524</v>
      </c>
      <c r="D10">
        <v>0.14866884744357589</v>
      </c>
      <c r="E10">
        <v>4.9833423263980601</v>
      </c>
      <c r="F10">
        <v>0.110594209402852</v>
      </c>
      <c r="G10">
        <v>2.2105182284145951E-2</v>
      </c>
      <c r="H10">
        <v>8.8489027118706043E-2</v>
      </c>
      <c r="I10">
        <v>0.44380257410422758</v>
      </c>
      <c r="K10">
        <v>4</v>
      </c>
      <c r="L10">
        <v>621.10992537466916</v>
      </c>
    </row>
    <row r="11" spans="1:17" x14ac:dyDescent="0.3">
      <c r="A11" t="s">
        <v>67</v>
      </c>
      <c r="B11" t="s">
        <v>14</v>
      </c>
      <c r="C11">
        <v>3.7161001864033143E-2</v>
      </c>
      <c r="D11">
        <v>8.0157420446716657E-2</v>
      </c>
      <c r="E11">
        <v>5.7836226352375366</v>
      </c>
      <c r="F11">
        <v>0.22297242494563169</v>
      </c>
      <c r="G11">
        <v>8.0993409401763181E-2</v>
      </c>
      <c r="H11">
        <v>0.14197901554386849</v>
      </c>
      <c r="I11">
        <v>0.78071855158617454</v>
      </c>
      <c r="J11">
        <f>-2*Tabel1[[#This Row],[waardefactor_LTD_equity]]+2</f>
        <v>0.43856289682765093</v>
      </c>
      <c r="K11">
        <v>4</v>
      </c>
      <c r="L11">
        <v>136.68252411289251</v>
      </c>
      <c r="O11">
        <v>6.963196573315189E-2</v>
      </c>
      <c r="P11" s="3">
        <f>Tabel1[[#This Row],[waarde_verdeling]]/SUM($M$2:$M$35)</f>
        <v>0</v>
      </c>
      <c r="Q11" s="3">
        <f>Tabel1[[#This Row],[WV2]]/SUM($N$2:$N$35)</f>
        <v>0</v>
      </c>
    </row>
    <row r="12" spans="1:17" x14ac:dyDescent="0.3">
      <c r="A12" t="s">
        <v>69</v>
      </c>
      <c r="B12" t="s">
        <v>20</v>
      </c>
      <c r="C12">
        <v>0.28470528720320992</v>
      </c>
      <c r="D12">
        <v>0.26302328911698758</v>
      </c>
      <c r="E12">
        <v>4.1153532880694863</v>
      </c>
      <c r="F12">
        <v>0.20699665910422041</v>
      </c>
      <c r="G12">
        <v>7.2878141696867557E-2</v>
      </c>
      <c r="H12">
        <v>0.13411851740735281</v>
      </c>
      <c r="I12">
        <v>0.31129337630410381</v>
      </c>
      <c r="J12">
        <f>-2*Tabel1[[#This Row],[waardefactor_LTD_equity]]+2</f>
        <v>1.3774132473917924</v>
      </c>
      <c r="K12">
        <v>5</v>
      </c>
      <c r="L12">
        <v>1279.410139703193</v>
      </c>
      <c r="M12">
        <v>7.8816976716315841</v>
      </c>
      <c r="N12">
        <f>1*Tabel1[[#This Row],[waardefactor_FCF]]*(1+Tabel1[[#This Row],[waardefactor_ROE]])*Tabel1[[#This Row],[Kolom2]]</f>
        <v>6.4287986039174854</v>
      </c>
      <c r="O12">
        <v>-0.57923578598811121</v>
      </c>
      <c r="P12" s="3">
        <f>Tabel1[[#This Row],[waarde_verdeling]]/SUM($M$2:$M$35)</f>
        <v>3.5738711933825731E-2</v>
      </c>
      <c r="Q12" s="3">
        <f>Tabel1[[#This Row],[WV2]]/SUM($N$2:$N$35)</f>
        <v>3.5773237621601776E-2</v>
      </c>
    </row>
    <row r="13" spans="1:17" x14ac:dyDescent="0.3">
      <c r="A13" t="s">
        <v>21</v>
      </c>
      <c r="B13" t="s">
        <v>18</v>
      </c>
      <c r="C13">
        <v>0.12189727122088841</v>
      </c>
      <c r="D13">
        <v>0.19426699816449791</v>
      </c>
      <c r="E13">
        <v>3.229950931758041</v>
      </c>
      <c r="F13">
        <v>0.2369238857841077</v>
      </c>
      <c r="G13">
        <v>5.0717334149752671E-2</v>
      </c>
      <c r="H13">
        <v>0.18620655163435501</v>
      </c>
      <c r="I13">
        <v>0.21429108730592689</v>
      </c>
      <c r="J13">
        <f>-2*Tabel1[[#This Row],[waardefactor_LTD_equity]]+2</f>
        <v>1.5714178253881461</v>
      </c>
      <c r="K13">
        <v>5</v>
      </c>
      <c r="L13">
        <v>382.54972898693921</v>
      </c>
      <c r="M13">
        <v>6.841745407992688</v>
      </c>
      <c r="N13">
        <f>1*Tabel1[[#This Row],[waardefactor_FCF]]*(1+Tabel1[[#This Row],[waardefactor_ROE]])*Tabel1[[#This Row],[Kolom2]]</f>
        <v>6.020712902567622</v>
      </c>
      <c r="O13">
        <v>-0.73149895982256807</v>
      </c>
      <c r="P13" s="3">
        <f>Tabel1[[#This Row],[waarde_verdeling]]/SUM($M$2:$M$35)</f>
        <v>3.1023160040875911E-2</v>
      </c>
      <c r="Q13" s="3">
        <f>Tabel1[[#This Row],[WV2]]/SUM($N$2:$N$35)</f>
        <v>3.3502432815946358E-2</v>
      </c>
    </row>
    <row r="14" spans="1:17" hidden="1" x14ac:dyDescent="0.3">
      <c r="A14" t="s">
        <v>68</v>
      </c>
      <c r="B14" t="s">
        <v>35</v>
      </c>
      <c r="C14">
        <v>0.17812020590470959</v>
      </c>
      <c r="D14">
        <v>0.24129989750042691</v>
      </c>
      <c r="E14">
        <v>3.0591369072456329</v>
      </c>
      <c r="F14">
        <v>0.11729271273830159</v>
      </c>
      <c r="G14">
        <v>5.0549397423641708E-2</v>
      </c>
      <c r="H14">
        <v>6.6743315314659837E-2</v>
      </c>
      <c r="I14">
        <v>0.198211921808127</v>
      </c>
      <c r="K14">
        <v>4</v>
      </c>
      <c r="L14">
        <v>534.61536726590066</v>
      </c>
    </row>
    <row r="15" spans="1:17" x14ac:dyDescent="0.3">
      <c r="A15" t="s">
        <v>55</v>
      </c>
      <c r="B15" t="s">
        <v>24</v>
      </c>
      <c r="C15">
        <v>0.25780633140179698</v>
      </c>
      <c r="D15">
        <v>0.30461594229702532</v>
      </c>
      <c r="E15">
        <v>2.778358743779334</v>
      </c>
      <c r="F15">
        <v>0.36127288286814918</v>
      </c>
      <c r="G15">
        <v>0.1235058634932515</v>
      </c>
      <c r="H15">
        <v>0.2377670193748978</v>
      </c>
      <c r="I15">
        <v>0.4029608850732832</v>
      </c>
      <c r="J15">
        <f>-2*Tabel1[[#This Row],[waardefactor_LTD_equity]]+2</f>
        <v>1.1940782298534336</v>
      </c>
      <c r="K15">
        <v>5</v>
      </c>
      <c r="L15">
        <v>404.26148107749191</v>
      </c>
      <c r="M15">
        <v>5.4921549459044607</v>
      </c>
      <c r="N15">
        <f>1*Tabel1[[#This Row],[waardefactor_FCF]]*(1+Tabel1[[#This Row],[waardefactor_ROE]])*Tabel1[[#This Row],[Kolom2]]</f>
        <v>4.1063882497250601</v>
      </c>
      <c r="O15">
        <v>-0.4930879822990698</v>
      </c>
      <c r="P15" s="3">
        <f>Tabel1[[#This Row],[waarde_verdeling]]/SUM($M$2:$M$35)</f>
        <v>2.4903586978994523E-2</v>
      </c>
      <c r="Q15" s="3">
        <f>Tabel1[[#This Row],[WV2]]/SUM($N$2:$N$35)</f>
        <v>2.2850117366323003E-2</v>
      </c>
    </row>
    <row r="16" spans="1:17" x14ac:dyDescent="0.3">
      <c r="A16" t="s">
        <v>33</v>
      </c>
      <c r="B16" t="s">
        <v>20</v>
      </c>
      <c r="C16">
        <v>0.16603194637809571</v>
      </c>
      <c r="D16">
        <v>0.2154881552607065</v>
      </c>
      <c r="E16">
        <v>3.575566441580404</v>
      </c>
      <c r="F16">
        <v>0.21555295053806051</v>
      </c>
      <c r="G16">
        <v>3.3389721766371533E-2</v>
      </c>
      <c r="H16">
        <v>0.18216322877168889</v>
      </c>
      <c r="I16">
        <v>0.9229530897216196</v>
      </c>
      <c r="J16">
        <f>-2*Tabel1[[#This Row],[waardefactor_LTD_equity]]+2</f>
        <v>0.1540938205567608</v>
      </c>
      <c r="K16">
        <v>4</v>
      </c>
      <c r="L16">
        <v>1267.2776936548571</v>
      </c>
      <c r="O16">
        <v>-0.56838978231895698</v>
      </c>
      <c r="P16" s="3">
        <f>Tabel1[[#This Row],[waarde_verdeling]]/SUM($M$2:$M$35)</f>
        <v>0</v>
      </c>
      <c r="Q16" s="3">
        <f>Tabel1[[#This Row],[WV2]]/SUM($N$2:$N$35)</f>
        <v>0</v>
      </c>
    </row>
    <row r="17" spans="1:17" hidden="1" x14ac:dyDescent="0.3">
      <c r="A17" t="s">
        <v>42</v>
      </c>
      <c r="B17" t="s">
        <v>26</v>
      </c>
      <c r="C17">
        <v>0.16450028257878499</v>
      </c>
      <c r="D17">
        <v>0.23858053658836251</v>
      </c>
      <c r="E17">
        <v>2.8899919050618861</v>
      </c>
      <c r="F17">
        <v>0.1254008379795363</v>
      </c>
      <c r="G17">
        <v>6.2666588143707111E-2</v>
      </c>
      <c r="H17">
        <v>6.2734249835829217E-2</v>
      </c>
      <c r="I17">
        <v>0.52851223228380806</v>
      </c>
      <c r="K17">
        <v>3</v>
      </c>
      <c r="L17">
        <v>264.89104852070761</v>
      </c>
    </row>
    <row r="18" spans="1:17" hidden="1" x14ac:dyDescent="0.3">
      <c r="A18" t="s">
        <v>65</v>
      </c>
      <c r="B18" t="s">
        <v>66</v>
      </c>
      <c r="C18">
        <v>-1.695380693874899E-2</v>
      </c>
      <c r="D18">
        <v>8.1441471054063241E-2</v>
      </c>
      <c r="E18">
        <v>-2.5560892516363571</v>
      </c>
      <c r="F18">
        <v>0.50962615869321937</v>
      </c>
      <c r="G18">
        <v>0.14574554597007361</v>
      </c>
      <c r="H18">
        <v>0.36388061272314581</v>
      </c>
      <c r="I18">
        <v>2.741045865670301</v>
      </c>
      <c r="K18">
        <v>3</v>
      </c>
      <c r="L18">
        <v>76.292204776473767</v>
      </c>
    </row>
    <row r="19" spans="1:17" hidden="1" x14ac:dyDescent="0.3">
      <c r="A19" t="s">
        <v>47</v>
      </c>
      <c r="B19" t="s">
        <v>26</v>
      </c>
      <c r="C19">
        <v>6.0046188401607879E-2</v>
      </c>
      <c r="D19">
        <v>0.20234871602373181</v>
      </c>
      <c r="E19">
        <v>1.4665083449326111</v>
      </c>
      <c r="F19">
        <v>0.13741465473521741</v>
      </c>
      <c r="G19">
        <v>2.4118412285651609E-2</v>
      </c>
      <c r="H19">
        <v>0.11329624244956581</v>
      </c>
      <c r="I19">
        <v>0.61347332327438275</v>
      </c>
      <c r="K19">
        <v>3</v>
      </c>
      <c r="L19">
        <v>362.80434971360341</v>
      </c>
    </row>
    <row r="20" spans="1:17" x14ac:dyDescent="0.3">
      <c r="A20" t="s">
        <v>63</v>
      </c>
      <c r="B20" t="s">
        <v>20</v>
      </c>
      <c r="C20">
        <v>0.18270960657231419</v>
      </c>
      <c r="D20">
        <v>0.42536914504315421</v>
      </c>
      <c r="E20">
        <v>1.009786159438717</v>
      </c>
      <c r="F20">
        <v>0.2221279299787372</v>
      </c>
      <c r="G20">
        <v>5.2145840604929557E-2</v>
      </c>
      <c r="H20">
        <v>0.16998208937380771</v>
      </c>
      <c r="I20">
        <v>0.10605844610174769</v>
      </c>
      <c r="J20">
        <f>-2*Tabel1[[#This Row],[waardefactor_LTD_equity]]+2</f>
        <v>1.7878831077965045</v>
      </c>
      <c r="K20">
        <v>5</v>
      </c>
      <c r="L20">
        <v>71.716801466238508</v>
      </c>
      <c r="M20">
        <v>2.2375626288152399</v>
      </c>
      <c r="N20">
        <f>1*Tabel1[[#This Row],[waardefactor_FCF]]*(1+Tabel1[[#This Row],[waardefactor_ROE]])*Tabel1[[#This Row],[Kolom2]]</f>
        <v>2.1122618163487581</v>
      </c>
      <c r="O20">
        <v>-0.2880329515255996</v>
      </c>
      <c r="P20" s="3">
        <f>Tabel1[[#This Row],[waarde_verdeling]]/SUM($M$2:$M$35)</f>
        <v>1.0145987521564965E-2</v>
      </c>
      <c r="Q20" s="3">
        <f>Tabel1[[#This Row],[WV2]]/SUM($N$2:$N$35)</f>
        <v>1.1753742577848867E-2</v>
      </c>
    </row>
    <row r="21" spans="1:17" x14ac:dyDescent="0.3">
      <c r="A21" t="s">
        <v>58</v>
      </c>
      <c r="B21" t="s">
        <v>16</v>
      </c>
      <c r="C21">
        <v>4.7922338455062961E-2</v>
      </c>
      <c r="D21">
        <v>0.17124271031712041</v>
      </c>
      <c r="E21">
        <v>1.6342323988032961</v>
      </c>
      <c r="F21">
        <v>0.21333636344477019</v>
      </c>
      <c r="G21">
        <v>4.037010742666642E-2</v>
      </c>
      <c r="H21">
        <v>0.17296625601810381</v>
      </c>
      <c r="I21">
        <v>0.90224563368602229</v>
      </c>
      <c r="J21">
        <f>-2*Tabel1[[#This Row],[waardefactor_LTD_equity]]+2</f>
        <v>0.19550873262795543</v>
      </c>
      <c r="K21">
        <v>4</v>
      </c>
      <c r="L21">
        <v>574.85622641246675</v>
      </c>
      <c r="O21">
        <v>-0.57899037506674156</v>
      </c>
      <c r="P21" s="3">
        <f>Tabel1[[#This Row],[waarde_verdeling]]/SUM($M$2:$M$35)</f>
        <v>0</v>
      </c>
      <c r="Q21" s="3">
        <f>Tabel1[[#This Row],[WV2]]/SUM($N$2:$N$35)</f>
        <v>0</v>
      </c>
    </row>
    <row r="22" spans="1:17" x14ac:dyDescent="0.3">
      <c r="A22" t="s">
        <v>59</v>
      </c>
      <c r="B22" t="s">
        <v>60</v>
      </c>
      <c r="C22">
        <v>0.47440658753849929</v>
      </c>
      <c r="D22">
        <v>0.69894636268602206</v>
      </c>
      <c r="E22">
        <v>0.97109789477770714</v>
      </c>
      <c r="F22">
        <v>0.35274231245857302</v>
      </c>
      <c r="G22">
        <v>0.2048087804610888</v>
      </c>
      <c r="H22">
        <v>0.14793353199748421</v>
      </c>
      <c r="I22">
        <v>0.24318393318557441</v>
      </c>
      <c r="J22">
        <f>-2*Tabel1[[#This Row],[waardefactor_LTD_equity]]+2</f>
        <v>1.5136321336288512</v>
      </c>
      <c r="K22">
        <v>5</v>
      </c>
      <c r="L22">
        <v>135.30535825680479</v>
      </c>
      <c r="M22">
        <v>1.9584209637298859</v>
      </c>
      <c r="N22">
        <f>1*Tabel1[[#This Row],[waardefactor_FCF]]*(1+Tabel1[[#This Row],[waardefactor_ROE]])*Tabel1[[#This Row],[Kolom2]]</f>
        <v>1.6873302549247819</v>
      </c>
      <c r="O22">
        <v>-5.9165157519095353E-2</v>
      </c>
      <c r="P22" s="3">
        <f>Tabel1[[#This Row],[waarde_verdeling]]/SUM($M$2:$M$35)</f>
        <v>8.8802496091452965E-3</v>
      </c>
      <c r="Q22" s="3">
        <f>Tabel1[[#This Row],[WV2]]/SUM($N$2:$N$35)</f>
        <v>9.3891984917306454E-3</v>
      </c>
    </row>
    <row r="23" spans="1:17" hidden="1" x14ac:dyDescent="0.3">
      <c r="A23" t="s">
        <v>29</v>
      </c>
      <c r="B23" t="s">
        <v>30</v>
      </c>
      <c r="C23">
        <v>-3.7101067894511258E-2</v>
      </c>
      <c r="D23">
        <v>0.19204786433919349</v>
      </c>
      <c r="E23">
        <v>-1.0059292725750859</v>
      </c>
      <c r="F23">
        <v>0.26740569766937489</v>
      </c>
      <c r="G23">
        <v>7.4031820554402827E-2</v>
      </c>
      <c r="H23">
        <v>0.19337387711497209</v>
      </c>
      <c r="I23">
        <v>0.49304943201761942</v>
      </c>
      <c r="K23">
        <v>4</v>
      </c>
      <c r="L23">
        <v>246.23296472332399</v>
      </c>
    </row>
    <row r="24" spans="1:17" hidden="1" x14ac:dyDescent="0.3">
      <c r="A24" t="s">
        <v>41</v>
      </c>
      <c r="B24" t="s">
        <v>26</v>
      </c>
      <c r="C24">
        <v>-2.630154119386981E-2</v>
      </c>
      <c r="D24">
        <v>0.1537067436321054</v>
      </c>
      <c r="E24">
        <v>-1.1132567930856621</v>
      </c>
      <c r="F24">
        <v>0.51917634580511762</v>
      </c>
      <c r="G24">
        <v>0.38588274384902338</v>
      </c>
      <c r="H24">
        <v>0.13329360195609419</v>
      </c>
      <c r="I24">
        <v>3.3870419518043291</v>
      </c>
      <c r="K24">
        <v>3</v>
      </c>
      <c r="L24">
        <v>141.35739099506711</v>
      </c>
    </row>
    <row r="25" spans="1:17" x14ac:dyDescent="0.3">
      <c r="A25" t="s">
        <v>51</v>
      </c>
      <c r="B25" t="s">
        <v>52</v>
      </c>
      <c r="C25">
        <v>0.21816746142810739</v>
      </c>
      <c r="D25">
        <v>0.46259239296998322</v>
      </c>
      <c r="E25">
        <v>1.0195135557335</v>
      </c>
      <c r="F25">
        <v>0.2475220131711787</v>
      </c>
      <c r="G25">
        <v>3.6290123461385687E-2</v>
      </c>
      <c r="H25">
        <v>0.21123188970979301</v>
      </c>
      <c r="I25">
        <v>0.47179498477752779</v>
      </c>
      <c r="J25">
        <f>-2*Tabel1[[#This Row],[waardefactor_LTD_equity]]+2</f>
        <v>1.0564100304449444</v>
      </c>
      <c r="K25">
        <v>5</v>
      </c>
      <c r="L25">
        <v>792.14941075105321</v>
      </c>
      <c r="M25">
        <v>1.8871304479037649</v>
      </c>
      <c r="N25">
        <f>1*Tabel1[[#This Row],[waardefactor_FCF]]*(1+Tabel1[[#This Row],[waardefactor_ROE]])*Tabel1[[#This Row],[Kolom2]]</f>
        <v>1.3045262344158572</v>
      </c>
      <c r="O25">
        <v>6.0134606255519252E-2</v>
      </c>
      <c r="P25" s="3">
        <f>Tabel1[[#This Row],[waarde_verdeling]]/SUM($M$2:$M$35)</f>
        <v>8.5569904186927198E-3</v>
      </c>
      <c r="Q25" s="3">
        <f>Tabel1[[#This Row],[WV2]]/SUM($N$2:$N$35)</f>
        <v>7.2590743376117787E-3</v>
      </c>
    </row>
    <row r="26" spans="1:17" hidden="1" x14ac:dyDescent="0.3">
      <c r="A26" t="s">
        <v>36</v>
      </c>
      <c r="B26" t="s">
        <v>37</v>
      </c>
      <c r="C26">
        <v>0.10790051795935481</v>
      </c>
      <c r="D26">
        <v>0.35073633395450449</v>
      </c>
      <c r="E26">
        <v>0.87712605717231129</v>
      </c>
      <c r="F26">
        <v>0.40690488122873869</v>
      </c>
      <c r="G26">
        <v>0.47123462406794242</v>
      </c>
      <c r="H26">
        <v>-6.4329742839203674E-2</v>
      </c>
      <c r="I26">
        <v>1.004628114873279</v>
      </c>
      <c r="K26">
        <v>3</v>
      </c>
      <c r="L26">
        <v>84.563987087296752</v>
      </c>
    </row>
    <row r="27" spans="1:17" x14ac:dyDescent="0.3">
      <c r="A27" t="s">
        <v>17</v>
      </c>
      <c r="B27" t="s">
        <v>18</v>
      </c>
      <c r="C27">
        <v>0.26874825864944718</v>
      </c>
      <c r="D27">
        <v>0.60340290762012594</v>
      </c>
      <c r="E27">
        <v>0.73812660919402107</v>
      </c>
      <c r="F27">
        <v>0.17753480309389949</v>
      </c>
      <c r="G27">
        <v>9.5103493263321931E-2</v>
      </c>
      <c r="H27">
        <v>8.2431309830577532E-2</v>
      </c>
      <c r="I27">
        <v>0.39034074221589521</v>
      </c>
      <c r="J27">
        <f>-2*Tabel1[[#This Row],[waardefactor_LTD_equity]]+2</f>
        <v>1.2193185155682096</v>
      </c>
      <c r="K27">
        <v>5</v>
      </c>
      <c r="L27">
        <v>374.07518643364762</v>
      </c>
      <c r="M27">
        <v>1.286071634112149</v>
      </c>
      <c r="N27">
        <f>1*Tabel1[[#This Row],[waardefactor_FCF]]*(1+Tabel1[[#This Row],[waardefactor_ROE]])*Tabel1[[#This Row],[Kolom2]]</f>
        <v>0.97420056340292382</v>
      </c>
      <c r="O27">
        <v>-0.80894214903136785</v>
      </c>
      <c r="P27" s="3">
        <f>Tabel1[[#This Row],[waarde_verdeling]]/SUM($M$2:$M$35)</f>
        <v>5.8315537556370067E-3</v>
      </c>
      <c r="Q27" s="3">
        <f>Tabel1[[#This Row],[WV2]]/SUM($N$2:$N$35)</f>
        <v>5.4209674921959078E-3</v>
      </c>
    </row>
    <row r="28" spans="1:17" x14ac:dyDescent="0.3">
      <c r="A28" t="s">
        <v>23</v>
      </c>
      <c r="B28" t="s">
        <v>24</v>
      </c>
      <c r="C28">
        <v>0.35207581140708988</v>
      </c>
      <c r="D28">
        <v>1.083016487037344</v>
      </c>
      <c r="E28">
        <v>0.30016914815314499</v>
      </c>
      <c r="F28">
        <v>0.28332311175778108</v>
      </c>
      <c r="G28">
        <v>6.482594352119847E-2</v>
      </c>
      <c r="H28">
        <v>0.21849716823658269</v>
      </c>
      <c r="I28">
        <v>0.29661722457114381</v>
      </c>
      <c r="J28">
        <f>-2*Tabel1[[#This Row],[waardefactor_LTD_equity]]+2</f>
        <v>1.4067655508577124</v>
      </c>
      <c r="K28">
        <v>5</v>
      </c>
      <c r="L28">
        <v>901.28157940796461</v>
      </c>
      <c r="M28">
        <v>0.6230212048246212</v>
      </c>
      <c r="N28">
        <f>1*Tabel1[[#This Row],[waardefactor_FCF]]*(1+Tabel1[[#This Row],[waardefactor_ROE]])*Tabel1[[#This Row],[Kolom2]]</f>
        <v>0.51453189561605361</v>
      </c>
      <c r="O28">
        <v>-0.65704391039861509</v>
      </c>
      <c r="P28" s="3">
        <f>Tabel1[[#This Row],[waarde_verdeling]]/SUM($M$2:$M$35)</f>
        <v>2.8250227673707398E-3</v>
      </c>
      <c r="Q28" s="3">
        <f>Tabel1[[#This Row],[WV2]]/SUM($N$2:$N$35)</f>
        <v>2.863127763024032E-3</v>
      </c>
    </row>
    <row r="29" spans="1:17" x14ac:dyDescent="0.3">
      <c r="A29" t="s">
        <v>43</v>
      </c>
      <c r="B29" t="s">
        <v>16</v>
      </c>
      <c r="C29">
        <v>3.0920187190201499E-2</v>
      </c>
      <c r="D29">
        <v>0.13892620468938979</v>
      </c>
      <c r="E29">
        <v>1.602041535238278</v>
      </c>
      <c r="F29">
        <v>0.30187248610464851</v>
      </c>
      <c r="G29">
        <v>9.9691394774297101E-2</v>
      </c>
      <c r="H29">
        <v>0.20218109133035131</v>
      </c>
      <c r="I29">
        <v>1.797284937269394</v>
      </c>
      <c r="J29">
        <f>-2*Tabel1[[#This Row],[waardefactor_LTD_equity]]+2</f>
        <v>-1.594569874538788</v>
      </c>
      <c r="K29">
        <v>4</v>
      </c>
      <c r="L29">
        <v>42.857827084923628</v>
      </c>
      <c r="O29">
        <v>0.42622722983317862</v>
      </c>
      <c r="P29" s="3">
        <f>Tabel1[[#This Row],[waarde_verdeling]]/SUM($M$2:$M$35)</f>
        <v>0</v>
      </c>
      <c r="Q29" s="3">
        <f>Tabel1[[#This Row],[WV2]]/SUM($N$2:$N$35)</f>
        <v>0</v>
      </c>
    </row>
    <row r="30" spans="1:17" x14ac:dyDescent="0.3">
      <c r="A30" t="s">
        <v>34</v>
      </c>
      <c r="B30" t="s">
        <v>35</v>
      </c>
      <c r="C30">
        <v>4.8623111340678607E-2</v>
      </c>
      <c r="D30">
        <v>0.44987867894282868</v>
      </c>
      <c r="E30">
        <v>0.24024365312177029</v>
      </c>
      <c r="F30">
        <v>0.16945830266463471</v>
      </c>
      <c r="G30">
        <v>4.2126521631581572E-2</v>
      </c>
      <c r="H30">
        <v>0.1273317810330532</v>
      </c>
      <c r="I30">
        <v>0.90156561574534466</v>
      </c>
      <c r="J30">
        <f>-2*Tabel1[[#This Row],[waardefactor_LTD_equity]]+2</f>
        <v>0.19686876850931068</v>
      </c>
      <c r="K30">
        <v>4</v>
      </c>
      <c r="L30">
        <v>80.601968128334477</v>
      </c>
      <c r="O30">
        <v>-0.32040534600817783</v>
      </c>
      <c r="P30" s="3">
        <f>Tabel1[[#This Row],[waarde_verdeling]]/SUM($M$2:$M$35)</f>
        <v>0</v>
      </c>
      <c r="Q30" s="3">
        <f>Tabel1[[#This Row],[WV2]]/SUM($N$2:$N$35)</f>
        <v>0</v>
      </c>
    </row>
    <row r="31" spans="1:17" x14ac:dyDescent="0.3">
      <c r="A31" t="s">
        <v>13</v>
      </c>
      <c r="B31" t="s">
        <v>14</v>
      </c>
      <c r="C31">
        <v>0.109255925911875</v>
      </c>
      <c r="D31">
        <v>0.87620580443983187</v>
      </c>
      <c r="E31">
        <v>0.14230912560637621</v>
      </c>
      <c r="F31">
        <v>0.19837099451434809</v>
      </c>
      <c r="G31">
        <v>8.397515812099339E-2</v>
      </c>
      <c r="H31">
        <v>0.11439583639335479</v>
      </c>
      <c r="I31">
        <v>0.83604774106533408</v>
      </c>
      <c r="J31">
        <f>-2*Tabel1[[#This Row],[waardefactor_LTD_equity]]+2</f>
        <v>0.32790451786933184</v>
      </c>
      <c r="K31">
        <v>4</v>
      </c>
      <c r="L31">
        <v>144.13929364590379</v>
      </c>
      <c r="O31">
        <v>-0.78506902067702256</v>
      </c>
      <c r="P31" s="3">
        <f>Tabel1[[#This Row],[waarde_verdeling]]/SUM($M$2:$M$35)</f>
        <v>0</v>
      </c>
      <c r="Q31" s="3">
        <f>Tabel1[[#This Row],[WV2]]/SUM($N$2:$N$35)</f>
        <v>0</v>
      </c>
    </row>
    <row r="32" spans="1:17" hidden="1" x14ac:dyDescent="0.3">
      <c r="A32" t="s">
        <v>25</v>
      </c>
      <c r="B32" t="s">
        <v>26</v>
      </c>
      <c r="C32">
        <v>5.7031225166914487E-2</v>
      </c>
      <c r="D32">
        <v>0.18941633325649451</v>
      </c>
      <c r="E32">
        <v>1.5895633868103449</v>
      </c>
      <c r="F32">
        <v>0.13771520661327219</v>
      </c>
      <c r="G32">
        <v>2.0160144581391089E-2</v>
      </c>
      <c r="H32">
        <v>0.11755506203188119</v>
      </c>
      <c r="I32">
        <v>1.976626384462955</v>
      </c>
      <c r="K32">
        <v>3</v>
      </c>
      <c r="L32">
        <v>2008.531257673965</v>
      </c>
    </row>
    <row r="33" spans="1:17" hidden="1" x14ac:dyDescent="0.3">
      <c r="A33" t="s">
        <v>44</v>
      </c>
      <c r="B33" t="s">
        <v>26</v>
      </c>
      <c r="C33">
        <v>-4.283125517165684E-3</v>
      </c>
      <c r="D33">
        <v>0.23927974807593261</v>
      </c>
      <c r="E33">
        <v>-7.4808150212820917E-2</v>
      </c>
      <c r="F33">
        <v>0.27798441083344522</v>
      </c>
      <c r="G33">
        <v>0.109373879380347</v>
      </c>
      <c r="H33">
        <v>0.16861053145309821</v>
      </c>
      <c r="I33">
        <v>0.55198707834201022</v>
      </c>
      <c r="K33">
        <v>3</v>
      </c>
      <c r="L33">
        <v>645.31822472920021</v>
      </c>
    </row>
    <row r="34" spans="1:17" hidden="1" x14ac:dyDescent="0.3">
      <c r="A34" t="s">
        <v>61</v>
      </c>
      <c r="B34" t="s">
        <v>16</v>
      </c>
      <c r="C34">
        <v>-7.659310558772317E-2</v>
      </c>
      <c r="D34">
        <v>0.97949455070112457</v>
      </c>
      <c r="E34">
        <v>-7.9833584733030108E-2</v>
      </c>
      <c r="F34">
        <v>0.1412084076750181</v>
      </c>
      <c r="G34">
        <v>7.3078702897690001E-2</v>
      </c>
      <c r="H34">
        <v>6.8129704777328132E-2</v>
      </c>
      <c r="I34">
        <v>0.1715400784300927</v>
      </c>
      <c r="K34">
        <v>2</v>
      </c>
      <c r="L34">
        <v>117.3749142468059</v>
      </c>
    </row>
    <row r="35" spans="1:17" x14ac:dyDescent="0.3">
      <c r="A35" t="s">
        <v>64</v>
      </c>
      <c r="B35" t="s">
        <v>26</v>
      </c>
      <c r="C35">
        <v>0.20061990455891529</v>
      </c>
      <c r="D35">
        <v>2.3955418044287038</v>
      </c>
      <c r="E35">
        <v>3.4959604537990768E-2</v>
      </c>
      <c r="F35">
        <v>0.22635349478003289</v>
      </c>
      <c r="G35">
        <v>8.2413612749134238E-2</v>
      </c>
      <c r="H35">
        <v>0.14393988203089861</v>
      </c>
      <c r="I35">
        <v>0.14612938182446089</v>
      </c>
      <c r="J35">
        <f>-2*Tabel1[[#This Row],[waardefactor_LTD_equity]]+2</f>
        <v>1.7077412363510782</v>
      </c>
      <c r="K35">
        <v>4</v>
      </c>
      <c r="L35">
        <v>3368.697311098409</v>
      </c>
      <c r="O35">
        <v>-0.70114263265839183</v>
      </c>
      <c r="P35" s="3">
        <f>Tabel1[[#This Row],[waarde_verdeling]]/SUM($M$2:$M$35)</f>
        <v>0</v>
      </c>
      <c r="Q35" s="3">
        <f>Tabel1[[#This Row],[WV2]]/SUM($N$2:$N$35)</f>
        <v>0</v>
      </c>
    </row>
    <row r="36" spans="1:17" hidden="1" x14ac:dyDescent="0.3">
      <c r="A36" t="s">
        <v>27</v>
      </c>
      <c r="B36" t="s">
        <v>28</v>
      </c>
      <c r="C36">
        <v>8.6539938373687772E-2</v>
      </c>
      <c r="D36">
        <v>9.9106039510142296E-2</v>
      </c>
      <c r="E36">
        <v>8.8108202101630404</v>
      </c>
      <c r="F36">
        <v>0.88415442478806017</v>
      </c>
      <c r="G36">
        <v>0.53014680341324982</v>
      </c>
      <c r="H36">
        <v>0.35400762137481029</v>
      </c>
      <c r="I36">
        <v>2.0377461829863459</v>
      </c>
      <c r="K36">
        <v>4</v>
      </c>
      <c r="L36">
        <v>31.1064670279114</v>
      </c>
    </row>
    <row r="37" spans="1:17" hidden="1" x14ac:dyDescent="0.3">
      <c r="A37" t="s">
        <v>40</v>
      </c>
      <c r="B37" t="s">
        <v>14</v>
      </c>
      <c r="C37">
        <v>0.1890152786522854</v>
      </c>
      <c r="D37">
        <v>0.1596431042312583</v>
      </c>
      <c r="E37">
        <v>7.4164587053835991</v>
      </c>
      <c r="F37">
        <v>0.79076175933599646</v>
      </c>
      <c r="G37">
        <v>0.43719643301123989</v>
      </c>
      <c r="H37">
        <v>0.35356532632475651</v>
      </c>
      <c r="I37">
        <v>2.501260701851733</v>
      </c>
      <c r="K37">
        <v>4</v>
      </c>
      <c r="L37">
        <v>291.03202697365009</v>
      </c>
    </row>
    <row r="38" spans="1:17" hidden="1" x14ac:dyDescent="0.3">
      <c r="A38" t="s">
        <v>19</v>
      </c>
      <c r="B38" t="s">
        <v>20</v>
      </c>
      <c r="C38">
        <v>0.13797699722180459</v>
      </c>
      <c r="D38">
        <v>8.2955121514664762E-2</v>
      </c>
      <c r="E38">
        <v>20.050272598713551</v>
      </c>
      <c r="F38">
        <v>1.1129188142892119</v>
      </c>
      <c r="G38">
        <v>0.40532144188895503</v>
      </c>
      <c r="H38">
        <v>0.70759737240025666</v>
      </c>
      <c r="I38">
        <v>2.7177370656797719</v>
      </c>
      <c r="K38">
        <v>4</v>
      </c>
      <c r="L38">
        <v>83.934203768582051</v>
      </c>
    </row>
    <row r="39" spans="1:17" hidden="1" x14ac:dyDescent="0.3">
      <c r="A39" t="s">
        <v>53</v>
      </c>
      <c r="B39" t="s">
        <v>54</v>
      </c>
      <c r="C39">
        <v>-4.5784312713335489E-2</v>
      </c>
      <c r="D39">
        <v>0.13029642635042471</v>
      </c>
      <c r="E39">
        <v>-2.6968183233293721</v>
      </c>
      <c r="F39">
        <v>9.3653956841924249E-2</v>
      </c>
      <c r="G39">
        <v>2.522641440887063</v>
      </c>
      <c r="H39">
        <v>-2.428987484045138</v>
      </c>
      <c r="I39">
        <v>39.513975974387129</v>
      </c>
      <c r="K39">
        <v>1</v>
      </c>
      <c r="L39">
        <v>11.22370110461841</v>
      </c>
    </row>
    <row r="40" spans="1:17" hidden="1" x14ac:dyDescent="0.3">
      <c r="A40" t="s">
        <v>15</v>
      </c>
      <c r="B40" t="s">
        <v>16</v>
      </c>
      <c r="C40">
        <v>2.7144881782662561E-3</v>
      </c>
      <c r="D40">
        <v>7.3854043381130385E-2</v>
      </c>
      <c r="E40">
        <v>0.49766763757667681</v>
      </c>
      <c r="F40">
        <v>-9.3128384258212655</v>
      </c>
      <c r="G40">
        <v>44.201829113958318</v>
      </c>
      <c r="H40">
        <v>-53.51466753977958</v>
      </c>
      <c r="I40">
        <v>-523.07404727020537</v>
      </c>
      <c r="K40">
        <v>3</v>
      </c>
      <c r="L40">
        <v>-0.46755129832988901</v>
      </c>
    </row>
  </sheetData>
  <phoneticPr fontId="4" type="noConversion"/>
  <conditionalFormatting sqref="F1:F1048576">
    <cfRule type="cellIs" dxfId="3" priority="4" operator="lessThan">
      <formula>0.15</formula>
    </cfRule>
  </conditionalFormatting>
  <conditionalFormatting sqref="H1:H1048576">
    <cfRule type="cellIs" dxfId="2" priority="3" operator="lessThan">
      <formula>0</formula>
    </cfRule>
  </conditionalFormatting>
  <conditionalFormatting sqref="I1:I1048576">
    <cfRule type="cellIs" dxfId="1" priority="2" operator="greaterThan">
      <formula>0.5</formula>
    </cfRule>
  </conditionalFormatting>
  <conditionalFormatting sqref="C1:C1048576">
    <cfRule type="cellIs" dxfId="0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Arne Van Riel</cp:lastModifiedBy>
  <dcterms:created xsi:type="dcterms:W3CDTF">2024-11-21T21:38:56Z</dcterms:created>
  <dcterms:modified xsi:type="dcterms:W3CDTF">2024-11-26T20:13:17Z</dcterms:modified>
</cp:coreProperties>
</file>